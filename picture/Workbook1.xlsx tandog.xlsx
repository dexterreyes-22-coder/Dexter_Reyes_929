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<sst xmlns="http://schemas.openxmlformats.org/spreadsheetml/2006/main" count="68" uniqueCount="41">
  <si>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ID</t>
  </si>
  <si>
    <t>Employee's Name</t>
  </si>
  <si>
    <t>Gender</t>
  </si>
  <si>
    <t>College/Dept.</t>
  </si>
  <si>
    <t>Salary</t>
  </si>
  <si>
    <t>Daily Rate</t>
  </si>
  <si>
    <t>Years of Service</t>
  </si>
  <si>
    <t>Starting Date</t>
  </si>
  <si>
    <t>Ending date</t>
  </si>
  <si>
    <t>Total Days Worked</t>
  </si>
  <si>
    <t>Gross Pay</t>
  </si>
  <si>
    <t>Tax Rate</t>
  </si>
  <si>
    <t>Tax DED</t>
  </si>
  <si>
    <t>SSS DED</t>
  </si>
  <si>
    <t>Philhealth DED</t>
  </si>
  <si>
    <t>Total Deduction</t>
  </si>
  <si>
    <t>Net Pay</t>
  </si>
  <si>
    <t>Abutanatin, Joshua</t>
  </si>
  <si>
    <t>M</t>
  </si>
  <si>
    <t>CCS</t>
  </si>
  <si>
    <t>Agundana, John Dave</t>
  </si>
  <si>
    <t>ENG</t>
  </si>
  <si>
    <t>Alispostain,Atasha</t>
  </si>
  <si>
    <t>F</t>
  </si>
  <si>
    <t>AGRI</t>
  </si>
  <si>
    <t>Cordero, Lemuel</t>
  </si>
  <si>
    <t>CBA</t>
  </si>
  <si>
    <t>Dela Rosa,Rod</t>
  </si>
  <si>
    <t>Jalbuna, Janelle</t>
  </si>
  <si>
    <t>Jallorina, Raine</t>
  </si>
  <si>
    <t>Jayme, Khristel</t>
  </si>
  <si>
    <t>Marcalinas, matt</t>
  </si>
  <si>
    <t>AS</t>
  </si>
  <si>
    <t>Nalagon,Kristalyn</t>
  </si>
  <si>
    <t>Parcon, Faith</t>
  </si>
  <si>
    <t>Pellobello,Alysa</t>
  </si>
  <si>
    <t>Pimentel' Shantal</t>
  </si>
  <si>
    <t>Rojo,Dinah Rose</t>
  </si>
  <si>
    <t>Subang ,Fatima</t>
  </si>
  <si>
    <t>Tandog, Elon Dael</t>
  </si>
  <si>
    <t>Valmoria,Mylene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</si>
</sst>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abSelected="1" workbookViewId="0">
      <selection activeCell="P22" sqref="P22"/>
    </sheetView>
  </sheetViews>
  <sheetFormatPr defaultColWidth="9.14285714285714" defaultRowHeight="15"/>
  <cols>
    <col min="2" max="2" width="19" customWidth="1"/>
    <col min="3" max="3" width="9.57142857142857" customWidth="1"/>
    <col min="4" max="4" width="13" customWidth="1"/>
    <col min="5" max="5" width="9.71428571428571" customWidth="1"/>
    <col min="6" max="6" width="9.28571428571429" customWidth="1"/>
    <col min="7" max="8" width="12.8571428571429" customWidth="1"/>
    <col min="9" max="9" width="11.7142857142857" customWidth="1"/>
    <col min="10" max="10" width="17.4285714285714" customWidth="1"/>
    <col min="11" max="11" width="10.2857142857143" customWidth="1"/>
    <col min="12" max="12" width="8.85714285714286" customWidth="1"/>
    <col min="13" max="13" width="11" customWidth="1"/>
    <col min="14" max="14" width="14.1428571428571" customWidth="1"/>
    <col min="15" max="15" width="15.2857142857143" customWidth="1"/>
    <col min="16" max="16" width="15.1428571428571" customWidth="1"/>
    <col min="17" max="17" width="12.8571428571429"/>
  </cols>
  <sheetData>
    <row r="1" ht="52" customHeight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1010</v>
      </c>
      <c r="B2" t="s">
        <v>17</v>
      </c>
      <c r="C2" t="s">
        <v>18</v>
      </c>
      <c r="D2" t="s">
        <v>19</v>
      </c>
      <c r="E2">
        <v>20000</v>
      </c>
      <c r="F2" s="1">
        <f>E2/28</f>
        <v>714.285714285714</v>
      </c>
      <c r="G2">
        <v>5</v>
      </c>
      <c r="H2" s="2">
        <v>42614</v>
      </c>
      <c r="I2" s="2">
        <v>11567</v>
      </c>
      <c r="J2">
        <v>15</v>
      </c>
      <c r="K2" s="1">
        <f>F2*J2</f>
        <v>10714.2857142857</v>
      </c>
      <c r="L2" s="3">
        <v>0.2</v>
      </c>
      <c r="M2" s="1">
        <f>K2*L2</f>
        <v>2142.85714285714</v>
      </c>
      <c r="N2">
        <v>200</v>
      </c>
      <c r="O2">
        <v>100</v>
      </c>
      <c r="P2" s="1">
        <f>SUM(M2:O2)</f>
        <v>2442.85714285714</v>
      </c>
      <c r="Q2" s="1">
        <f>K2-P2</f>
        <v>8271.42857142857</v>
      </c>
    </row>
    <row r="3" spans="1:17">
      <c r="A3">
        <v>1008</v>
      </c>
      <c r="B3" t="s">
        <v>20</v>
      </c>
      <c r="C3" t="s">
        <v>18</v>
      </c>
      <c r="D3" t="s">
        <v>21</v>
      </c>
      <c r="E3">
        <v>18000</v>
      </c>
      <c r="F3" s="1">
        <f t="shared" ref="F3:F18" si="0">E3/28</f>
        <v>642.857142857143</v>
      </c>
      <c r="G3">
        <v>10</v>
      </c>
      <c r="H3" s="2">
        <v>42615</v>
      </c>
      <c r="I3" s="2">
        <v>11568</v>
      </c>
      <c r="J3">
        <v>13</v>
      </c>
      <c r="K3" s="1">
        <f t="shared" ref="K3:K18" si="1">F3*J3</f>
        <v>8357.14285714286</v>
      </c>
      <c r="L3" s="3">
        <v>0.2</v>
      </c>
      <c r="M3" s="1">
        <f t="shared" ref="M3:M18" si="2">K3*L3</f>
        <v>1671.42857142857</v>
      </c>
      <c r="N3">
        <v>200</v>
      </c>
      <c r="O3">
        <v>100</v>
      </c>
      <c r="P3" s="1">
        <f t="shared" ref="P3:P18" si="3">SUM(M3:O3)</f>
        <v>1971.42857142857</v>
      </c>
      <c r="Q3" s="1">
        <f t="shared" ref="Q3:Q18" si="4">K3-P3</f>
        <v>6385.71428571429</v>
      </c>
    </row>
    <row r="4" spans="1:17">
      <c r="A4">
        <v>1006</v>
      </c>
      <c r="B4" t="s">
        <v>22</v>
      </c>
      <c r="C4" t="s">
        <v>23</v>
      </c>
      <c r="D4" t="s">
        <v>24</v>
      </c>
      <c r="E4">
        <v>12000</v>
      </c>
      <c r="F4" s="1">
        <f t="shared" si="0"/>
        <v>428.571428571429</v>
      </c>
      <c r="G4">
        <v>6</v>
      </c>
      <c r="H4" s="2">
        <v>42616</v>
      </c>
      <c r="I4" s="2">
        <v>11569</v>
      </c>
      <c r="J4">
        <v>15</v>
      </c>
      <c r="K4" s="1">
        <f t="shared" si="1"/>
        <v>6428.57142857143</v>
      </c>
      <c r="L4" s="3">
        <v>0.2</v>
      </c>
      <c r="M4" s="1">
        <f t="shared" si="2"/>
        <v>1285.71428571429</v>
      </c>
      <c r="N4">
        <v>200</v>
      </c>
      <c r="O4">
        <v>100</v>
      </c>
      <c r="P4" s="1">
        <f t="shared" si="3"/>
        <v>1585.71428571429</v>
      </c>
      <c r="Q4" s="1">
        <f t="shared" si="4"/>
        <v>4842.85714285714</v>
      </c>
    </row>
    <row r="5" spans="1:17">
      <c r="A5">
        <v>1004</v>
      </c>
      <c r="B5" t="s">
        <v>25</v>
      </c>
      <c r="C5" t="s">
        <v>18</v>
      </c>
      <c r="D5" t="s">
        <v>26</v>
      </c>
      <c r="E5">
        <v>17000</v>
      </c>
      <c r="F5" s="1">
        <f t="shared" si="0"/>
        <v>607.142857142857</v>
      </c>
      <c r="G5">
        <v>5</v>
      </c>
      <c r="H5" s="2">
        <v>42617</v>
      </c>
      <c r="I5" s="2">
        <v>11570</v>
      </c>
      <c r="J5">
        <v>12</v>
      </c>
      <c r="K5" s="1">
        <f t="shared" si="1"/>
        <v>7285.71428571429</v>
      </c>
      <c r="L5" s="3">
        <v>0.2</v>
      </c>
      <c r="M5" s="1">
        <f t="shared" si="2"/>
        <v>1457.14285714286</v>
      </c>
      <c r="N5">
        <v>200</v>
      </c>
      <c r="O5">
        <v>100</v>
      </c>
      <c r="P5" s="1">
        <f t="shared" si="3"/>
        <v>1757.14285714286</v>
      </c>
      <c r="Q5" s="1">
        <f t="shared" si="4"/>
        <v>5528.57142857143</v>
      </c>
    </row>
    <row r="6" spans="1:17">
      <c r="A6">
        <v>1005</v>
      </c>
      <c r="B6" t="s">
        <v>27</v>
      </c>
      <c r="C6" t="s">
        <v>18</v>
      </c>
      <c r="D6" t="s">
        <v>26</v>
      </c>
      <c r="E6">
        <v>15000</v>
      </c>
      <c r="F6" s="1">
        <f t="shared" si="0"/>
        <v>535.714285714286</v>
      </c>
      <c r="G6">
        <v>7</v>
      </c>
      <c r="H6" s="2">
        <v>42618</v>
      </c>
      <c r="I6" s="2">
        <v>11571</v>
      </c>
      <c r="J6">
        <v>14</v>
      </c>
      <c r="K6" s="1">
        <f t="shared" si="1"/>
        <v>7500</v>
      </c>
      <c r="L6" s="3">
        <v>0.2</v>
      </c>
      <c r="M6" s="1">
        <f t="shared" si="2"/>
        <v>1500</v>
      </c>
      <c r="N6">
        <v>200</v>
      </c>
      <c r="O6">
        <v>100</v>
      </c>
      <c r="P6" s="1">
        <f t="shared" si="3"/>
        <v>1800</v>
      </c>
      <c r="Q6" s="1">
        <f t="shared" si="4"/>
        <v>5700</v>
      </c>
    </row>
    <row r="7" spans="1:17">
      <c r="A7">
        <v>1007</v>
      </c>
      <c r="B7" t="s">
        <v>28</v>
      </c>
      <c r="C7" t="s">
        <v>23</v>
      </c>
      <c r="D7" t="s">
        <v>24</v>
      </c>
      <c r="E7">
        <v>15000</v>
      </c>
      <c r="F7" s="1">
        <f t="shared" si="0"/>
        <v>535.714285714286</v>
      </c>
      <c r="G7">
        <v>8</v>
      </c>
      <c r="H7" s="2">
        <v>42619</v>
      </c>
      <c r="I7" s="2">
        <v>11572</v>
      </c>
      <c r="J7">
        <v>15</v>
      </c>
      <c r="K7" s="1">
        <f t="shared" si="1"/>
        <v>8035.71428571429</v>
      </c>
      <c r="L7" s="3">
        <v>0.2</v>
      </c>
      <c r="M7" s="1">
        <f t="shared" si="2"/>
        <v>1607.14285714286</v>
      </c>
      <c r="N7">
        <v>200</v>
      </c>
      <c r="O7">
        <v>100</v>
      </c>
      <c r="P7" s="1">
        <f t="shared" si="3"/>
        <v>1907.14285714286</v>
      </c>
      <c r="Q7" s="1">
        <f t="shared" si="4"/>
        <v>6128.57142857143</v>
      </c>
    </row>
    <row r="8" spans="1:17">
      <c r="A8">
        <v>1013</v>
      </c>
      <c r="B8" t="s">
        <v>29</v>
      </c>
      <c r="C8" t="s">
        <v>18</v>
      </c>
      <c r="D8" t="s">
        <v>26</v>
      </c>
      <c r="E8">
        <v>18000</v>
      </c>
      <c r="F8" s="1">
        <f t="shared" si="0"/>
        <v>642.857142857143</v>
      </c>
      <c r="G8">
        <v>4</v>
      </c>
      <c r="H8" s="2">
        <v>42620</v>
      </c>
      <c r="I8" s="2">
        <v>11573</v>
      </c>
      <c r="J8">
        <v>15</v>
      </c>
      <c r="K8" s="1">
        <f t="shared" si="1"/>
        <v>9642.85714285714</v>
      </c>
      <c r="L8" s="3">
        <v>0.2</v>
      </c>
      <c r="M8" s="1">
        <f t="shared" si="2"/>
        <v>1928.57142857143</v>
      </c>
      <c r="N8">
        <v>200</v>
      </c>
      <c r="O8">
        <v>100</v>
      </c>
      <c r="P8" s="1">
        <f t="shared" si="3"/>
        <v>2228.57142857143</v>
      </c>
      <c r="Q8" s="1">
        <f t="shared" si="4"/>
        <v>7414.28571428571</v>
      </c>
    </row>
    <row r="9" spans="1:17">
      <c r="A9">
        <v>1014</v>
      </c>
      <c r="B9" t="s">
        <v>30</v>
      </c>
      <c r="C9" t="s">
        <v>23</v>
      </c>
      <c r="D9" t="s">
        <v>21</v>
      </c>
      <c r="E9">
        <v>24000</v>
      </c>
      <c r="F9" s="1">
        <f t="shared" si="0"/>
        <v>857.142857142857</v>
      </c>
      <c r="G9">
        <v>3</v>
      </c>
      <c r="H9" s="2">
        <v>42621</v>
      </c>
      <c r="I9" s="2">
        <v>11574</v>
      </c>
      <c r="J9">
        <v>15</v>
      </c>
      <c r="K9" s="1">
        <f t="shared" si="1"/>
        <v>12857.1428571429</v>
      </c>
      <c r="L9" s="3">
        <v>0.2</v>
      </c>
      <c r="M9" s="1">
        <f t="shared" si="2"/>
        <v>2571.42857142857</v>
      </c>
      <c r="N9">
        <v>200</v>
      </c>
      <c r="O9">
        <v>100</v>
      </c>
      <c r="P9" s="1">
        <f t="shared" si="3"/>
        <v>2871.42857142857</v>
      </c>
      <c r="Q9" s="1">
        <f t="shared" si="4"/>
        <v>9985.71428571429</v>
      </c>
    </row>
    <row r="10" spans="1:17">
      <c r="A10">
        <v>1016</v>
      </c>
      <c r="B10" t="s">
        <v>31</v>
      </c>
      <c r="C10" t="s">
        <v>18</v>
      </c>
      <c r="D10" t="s">
        <v>32</v>
      </c>
      <c r="E10">
        <v>14000</v>
      </c>
      <c r="F10" s="1">
        <f t="shared" si="0"/>
        <v>500</v>
      </c>
      <c r="G10">
        <v>5</v>
      </c>
      <c r="H10" s="2">
        <v>42622</v>
      </c>
      <c r="I10" s="2">
        <v>11575</v>
      </c>
      <c r="J10">
        <v>15</v>
      </c>
      <c r="K10" s="1">
        <f t="shared" si="1"/>
        <v>7500</v>
      </c>
      <c r="L10" s="3">
        <v>0.2</v>
      </c>
      <c r="M10" s="1">
        <f t="shared" si="2"/>
        <v>1500</v>
      </c>
      <c r="N10">
        <v>200</v>
      </c>
      <c r="O10">
        <v>100</v>
      </c>
      <c r="P10" s="1">
        <f t="shared" si="3"/>
        <v>1800</v>
      </c>
      <c r="Q10" s="1">
        <f t="shared" si="4"/>
        <v>5700</v>
      </c>
    </row>
    <row r="11" spans="1:17">
      <c r="A11">
        <v>1011</v>
      </c>
      <c r="B11" t="s">
        <v>33</v>
      </c>
      <c r="C11" t="s">
        <v>23</v>
      </c>
      <c r="D11" t="s">
        <v>26</v>
      </c>
      <c r="E11">
        <v>20000</v>
      </c>
      <c r="F11" s="1">
        <f t="shared" si="0"/>
        <v>714.285714285714</v>
      </c>
      <c r="G11">
        <v>2</v>
      </c>
      <c r="H11" s="2">
        <v>42623</v>
      </c>
      <c r="I11" s="2">
        <v>11576</v>
      </c>
      <c r="J11">
        <v>15</v>
      </c>
      <c r="K11" s="1">
        <f t="shared" si="1"/>
        <v>10714.2857142857</v>
      </c>
      <c r="L11" s="3">
        <v>0.2</v>
      </c>
      <c r="M11" s="1">
        <f t="shared" si="2"/>
        <v>2142.85714285714</v>
      </c>
      <c r="N11">
        <v>200</v>
      </c>
      <c r="O11">
        <v>100</v>
      </c>
      <c r="P11" s="1">
        <f t="shared" si="3"/>
        <v>2442.85714285714</v>
      </c>
      <c r="Q11" s="1">
        <f t="shared" si="4"/>
        <v>8271.42857142857</v>
      </c>
    </row>
    <row r="12" spans="1:17">
      <c r="A12">
        <v>1012</v>
      </c>
      <c r="B12" t="s">
        <v>34</v>
      </c>
      <c r="C12" t="s">
        <v>23</v>
      </c>
      <c r="D12" t="s">
        <v>26</v>
      </c>
      <c r="E12">
        <v>18000</v>
      </c>
      <c r="F12" s="1">
        <f t="shared" si="0"/>
        <v>642.857142857143</v>
      </c>
      <c r="G12">
        <v>3</v>
      </c>
      <c r="H12" s="2">
        <v>42624</v>
      </c>
      <c r="I12" s="2">
        <v>11577</v>
      </c>
      <c r="J12">
        <v>15</v>
      </c>
      <c r="K12" s="1">
        <f t="shared" si="1"/>
        <v>9642.85714285714</v>
      </c>
      <c r="L12" s="3">
        <v>0.2</v>
      </c>
      <c r="M12" s="1">
        <f t="shared" si="2"/>
        <v>1928.57142857143</v>
      </c>
      <c r="N12">
        <v>200</v>
      </c>
      <c r="O12">
        <v>100</v>
      </c>
      <c r="P12" s="1">
        <f t="shared" si="3"/>
        <v>2228.57142857143</v>
      </c>
      <c r="Q12" s="1">
        <f t="shared" si="4"/>
        <v>7414.28571428571</v>
      </c>
    </row>
    <row r="13" spans="1:17">
      <c r="A13">
        <v>1002</v>
      </c>
      <c r="B13" t="s">
        <v>35</v>
      </c>
      <c r="C13" t="s">
        <v>23</v>
      </c>
      <c r="D13" t="s">
        <v>21</v>
      </c>
      <c r="E13">
        <v>15000</v>
      </c>
      <c r="F13" s="1">
        <f t="shared" si="0"/>
        <v>535.714285714286</v>
      </c>
      <c r="G13">
        <v>1</v>
      </c>
      <c r="H13" s="2">
        <v>42625</v>
      </c>
      <c r="I13" s="2">
        <v>11578</v>
      </c>
      <c r="J13">
        <v>15</v>
      </c>
      <c r="K13" s="1">
        <f t="shared" si="1"/>
        <v>8035.71428571429</v>
      </c>
      <c r="L13" s="3">
        <v>0.2</v>
      </c>
      <c r="M13" s="1">
        <f t="shared" si="2"/>
        <v>1607.14285714286</v>
      </c>
      <c r="N13">
        <v>200</v>
      </c>
      <c r="O13">
        <v>100</v>
      </c>
      <c r="P13" s="1">
        <f t="shared" si="3"/>
        <v>1907.14285714286</v>
      </c>
      <c r="Q13" s="1">
        <f t="shared" si="4"/>
        <v>6128.57142857143</v>
      </c>
    </row>
    <row r="14" spans="1:17">
      <c r="A14">
        <v>1001</v>
      </c>
      <c r="B14" t="s">
        <v>36</v>
      </c>
      <c r="C14" t="s">
        <v>23</v>
      </c>
      <c r="D14" t="s">
        <v>19</v>
      </c>
      <c r="E14">
        <v>12000</v>
      </c>
      <c r="F14" s="1">
        <f t="shared" si="0"/>
        <v>428.571428571429</v>
      </c>
      <c r="G14">
        <v>5</v>
      </c>
      <c r="H14" s="2">
        <v>42626</v>
      </c>
      <c r="I14" s="2">
        <v>11579</v>
      </c>
      <c r="J14">
        <v>15</v>
      </c>
      <c r="K14" s="1">
        <f t="shared" si="1"/>
        <v>6428.57142857143</v>
      </c>
      <c r="L14" s="3">
        <v>0.2</v>
      </c>
      <c r="M14" s="1">
        <f t="shared" si="2"/>
        <v>1285.71428571429</v>
      </c>
      <c r="N14">
        <v>200</v>
      </c>
      <c r="O14">
        <v>100</v>
      </c>
      <c r="P14" s="1">
        <f t="shared" si="3"/>
        <v>1585.71428571429</v>
      </c>
      <c r="Q14" s="1">
        <f t="shared" si="4"/>
        <v>4842.85714285714</v>
      </c>
    </row>
    <row r="15" spans="1:17">
      <c r="A15">
        <v>1000</v>
      </c>
      <c r="B15" t="s">
        <v>37</v>
      </c>
      <c r="C15" t="s">
        <v>23</v>
      </c>
      <c r="D15" t="s">
        <v>19</v>
      </c>
      <c r="E15">
        <v>16000</v>
      </c>
      <c r="F15" s="1">
        <f t="shared" si="0"/>
        <v>571.428571428571</v>
      </c>
      <c r="G15">
        <v>7</v>
      </c>
      <c r="H15" s="2">
        <v>42627</v>
      </c>
      <c r="I15" s="2">
        <v>11580</v>
      </c>
      <c r="J15">
        <v>15</v>
      </c>
      <c r="K15" s="1">
        <f t="shared" si="1"/>
        <v>8571.42857142857</v>
      </c>
      <c r="L15" s="3">
        <v>0.2</v>
      </c>
      <c r="M15" s="1">
        <f t="shared" si="2"/>
        <v>1714.28571428571</v>
      </c>
      <c r="N15">
        <v>200</v>
      </c>
      <c r="O15">
        <v>100</v>
      </c>
      <c r="P15" s="1">
        <f t="shared" si="3"/>
        <v>2014.28571428571</v>
      </c>
      <c r="Q15" s="1">
        <f t="shared" si="4"/>
        <v>6557.14285714286</v>
      </c>
    </row>
    <row r="16" spans="1:17">
      <c r="A16">
        <v>1003</v>
      </c>
      <c r="B16" t="s">
        <v>38</v>
      </c>
      <c r="C16" t="s">
        <v>23</v>
      </c>
      <c r="D16" t="s">
        <v>32</v>
      </c>
      <c r="E16">
        <v>22000</v>
      </c>
      <c r="F16" s="1">
        <f t="shared" si="0"/>
        <v>785.714285714286</v>
      </c>
      <c r="G16">
        <v>10</v>
      </c>
      <c r="H16" s="2">
        <v>42628</v>
      </c>
      <c r="I16" s="2">
        <v>11581</v>
      </c>
      <c r="J16">
        <v>15</v>
      </c>
      <c r="K16" s="1">
        <f t="shared" si="1"/>
        <v>11785.7142857143</v>
      </c>
      <c r="L16" s="3">
        <v>0.2</v>
      </c>
      <c r="M16" s="1">
        <f t="shared" si="2"/>
        <v>2357.14285714286</v>
      </c>
      <c r="N16">
        <v>200</v>
      </c>
      <c r="O16">
        <v>100</v>
      </c>
      <c r="P16" s="1">
        <f t="shared" si="3"/>
        <v>2657.14285714286</v>
      </c>
      <c r="Q16" s="1">
        <f t="shared" si="4"/>
        <v>9128.57142857143</v>
      </c>
    </row>
    <row r="17" spans="1:17">
      <c r="A17">
        <v>1015</v>
      </c>
      <c r="B17" t="s">
        <v>39</v>
      </c>
      <c r="C17" t="s">
        <v>18</v>
      </c>
      <c r="D17" t="s">
        <v>24</v>
      </c>
      <c r="E17">
        <v>19000</v>
      </c>
      <c r="F17" s="1">
        <f t="shared" si="0"/>
        <v>678.571428571429</v>
      </c>
      <c r="G17">
        <v>7</v>
      </c>
      <c r="H17" s="2">
        <v>42629</v>
      </c>
      <c r="I17" s="2">
        <v>11582</v>
      </c>
      <c r="J17">
        <v>15</v>
      </c>
      <c r="K17" s="1">
        <f t="shared" si="1"/>
        <v>10178.5714285714</v>
      </c>
      <c r="L17" s="3">
        <v>0.2</v>
      </c>
      <c r="M17" s="1">
        <f t="shared" si="2"/>
        <v>2035.71428571429</v>
      </c>
      <c r="N17">
        <v>200</v>
      </c>
      <c r="O17">
        <v>100</v>
      </c>
      <c r="P17" s="1">
        <f t="shared" si="3"/>
        <v>2335.71428571429</v>
      </c>
      <c r="Q17" s="1">
        <f t="shared" si="4"/>
        <v>7842.85714285714</v>
      </c>
    </row>
    <row r="18" spans="1:17">
      <c r="A18">
        <v>1009</v>
      </c>
      <c r="B18" t="s">
        <v>40</v>
      </c>
      <c r="C18" t="s">
        <v>23</v>
      </c>
      <c r="D18" t="s">
        <v>21</v>
      </c>
      <c r="E18">
        <v>21000</v>
      </c>
      <c r="F18" s="1">
        <f t="shared" si="0"/>
        <v>750</v>
      </c>
      <c r="G18">
        <v>6</v>
      </c>
      <c r="H18" s="2">
        <v>42630</v>
      </c>
      <c r="I18" s="2">
        <v>11583</v>
      </c>
      <c r="J18">
        <v>15</v>
      </c>
      <c r="K18" s="1">
        <f t="shared" si="1"/>
        <v>11250</v>
      </c>
      <c r="L18" s="3">
        <v>0.2</v>
      </c>
      <c r="M18" s="1">
        <f t="shared" si="2"/>
        <v>2250</v>
      </c>
      <c r="N18">
        <v>200</v>
      </c>
      <c r="O18">
        <v>100</v>
      </c>
      <c r="P18" s="1">
        <f t="shared" si="3"/>
        <v>2550</v>
      </c>
      <c r="Q18" s="1">
        <f t="shared" si="4"/>
        <v>8700</v>
      </c>
    </row>
  </sheetData>
  <sortState ref="A2:O22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MTCL3-07</dc:creator>
  <cp:lastModifiedBy>george baltazar Fullon</cp:lastModifiedBy>
  <dcterms:created xsi:type="dcterms:W3CDTF">2026-10-05T10:35:54Z</dcterms:created>
  <dcterms:modified xsi:type="dcterms:W3CDTF">2026-10-05T11:38:15Z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A79CDE50A8C5459CA2C7197D64A57E4E_11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